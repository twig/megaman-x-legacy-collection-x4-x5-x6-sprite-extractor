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twig\Desktop\"/>
    </mc:Choice>
  </mc:AlternateContent>
  <xr:revisionPtr revIDLastSave="0" documentId="8_{53C010E9-F552-42BF-8F13-E8572C1906A1}" xr6:coauthVersionLast="47" xr6:coauthVersionMax="47" xr10:uidLastSave="{00000000-0000-0000-0000-000000000000}"/>
  <bookViews>
    <workbookView xWindow="-120" yWindow="-120" windowWidth="38640" windowHeight="15720" xr2:uid="{E88B3B60-79C0-4CDE-A8F8-973B87FBEB1F}"/>
  </bookViews>
  <sheets>
    <sheet name="(DAT)MapEdi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1" i="1" l="1"/>
  <c r="L11" i="1" s="1"/>
  <c r="N11" i="1"/>
  <c r="O11" i="1"/>
  <c r="P11" i="1" s="1"/>
  <c r="M12" i="1"/>
  <c r="N12" i="1"/>
  <c r="K14" i="1"/>
  <c r="L15" i="1" s="1"/>
  <c r="N14" i="1"/>
  <c r="P14" i="1"/>
  <c r="M15" i="1"/>
  <c r="N15" i="1"/>
  <c r="O15" i="1"/>
  <c r="P15" i="1"/>
  <c r="K15" i="1" l="1"/>
  <c r="L14" i="1"/>
  <c r="P12" i="1"/>
  <c r="O12" i="1"/>
  <c r="L12" i="1"/>
  <c r="K12" i="1"/>
</calcChain>
</file>

<file path=xl/sharedStrings.xml><?xml version="1.0" encoding="utf-8"?>
<sst xmlns="http://schemas.openxmlformats.org/spreadsheetml/2006/main" count="59" uniqueCount="58">
  <si>
    <t>* Once you know the start and end point of your target screen, you can dump it and draw a grid with it, like the ones I made on this workbook (scripting is recommended to automate this step).</t>
  </si>
  <si>
    <t xml:space="preserve"> (you know the start point of the first screen, and you know that each screen is 0x200 each. You can add 0x200 until you reach your current address.)</t>
  </si>
  <si>
    <t>* After you've located the current screen, you can either keep doing minor changes until you find the start point and end point of the current screen, or you can calculate it by following the pattern of the first screen</t>
  </si>
  <si>
    <t xml:space="preserve">* Modify a few tiles, and then, in-game, move back and forth (until the tiles go off-screen and redrawn again) to find where are your changes being made. </t>
  </si>
  <si>
    <t>* In this breakpoint, "r4" stores the address of a tile currently being read (from any of the currently visible screens).</t>
  </si>
  <si>
    <t>* To do that, move (your character) to a spot near the tiles you need to move. Then set a breakpoint at the instruction at 800303B4 (RAM).</t>
  </si>
  <si>
    <t>* Starting on that address, count 0x200. That's one screen. You can either dump the whole thing starting here, or use this information as a reference to go directly to the one you need...</t>
  </si>
  <si>
    <t>* Goto 0x1F800008 in RAM. The address written in this address is the start point of the stage layout data.</t>
  </si>
  <si>
    <t>Process:</t>
  </si>
  <si>
    <t>The same math applies whether you're looking at RAM or directly at the DAT file.</t>
  </si>
  <si>
    <t>Tile definitions</t>
  </si>
  <si>
    <t>[801ABCE0..801AF9E0]?</t>
  </si>
  <si>
    <t>8019ACDC</t>
  </si>
  <si>
    <t>8019AADC</t>
  </si>
  <si>
    <r>
      <t xml:space="preserve">Using the same example screen, the math is:
</t>
    </r>
    <r>
      <rPr>
        <b/>
        <sz val="8"/>
        <color theme="1"/>
        <rFont val="Calibri"/>
        <family val="2"/>
      </rPr>
      <t>$17CA800 + ($3E * $200) = $17D2400</t>
    </r>
  </si>
  <si>
    <t>BG tilemap start offset + (screenID * $200)</t>
  </si>
  <si>
    <t>r5 = Map start</t>
  </si>
  <si>
    <t>r2 page start</t>
  </si>
  <si>
    <t>Or if have the screen offset:</t>
  </si>
  <si>
    <t>r3 = Nearby tile</t>
  </si>
  <si>
    <t>8002857C</t>
  </si>
  <si>
    <t>801988DA</t>
  </si>
  <si>
    <r>
      <t>($17D2400 - $17CA800) / $200 = screenID $3E</t>
    </r>
    <r>
      <rPr>
        <sz val="8"/>
        <color theme="1"/>
        <rFont val="Calibri"/>
        <family val="2"/>
      </rPr>
      <t xml:space="preserve"> &lt;-- which is what is used in the map layout data.</t>
    </r>
  </si>
  <si>
    <t>r2 = Page start</t>
  </si>
  <si>
    <r>
      <t>So if you know at offset $</t>
    </r>
    <r>
      <rPr>
        <b/>
        <sz val="8"/>
        <color theme="1"/>
        <rFont val="Calibri"/>
        <family val="2"/>
      </rPr>
      <t>17D2400</t>
    </r>
    <r>
      <rPr>
        <sz val="8"/>
        <color theme="1"/>
        <rFont val="Calibri"/>
        <family val="2"/>
      </rPr>
      <t xml:space="preserve"> is the tilemap for the infamous jump, the math is:</t>
    </r>
  </si>
  <si>
    <t>Nearby tile address</t>
  </si>
  <si>
    <t>80030C7C</t>
  </si>
  <si>
    <t>Examples:</t>
  </si>
  <si>
    <t>(screen offset in BG tilemap - BG tilemap start offset) / $200</t>
  </si>
  <si>
    <t>To calculate a screenID:</t>
  </si>
  <si>
    <t>Current stage start offset</t>
  </si>
  <si>
    <t>1F800008</t>
  </si>
  <si>
    <t>+1FE (200h-2h)</t>
  </si>
  <si>
    <t>+1E0 (200h-20h)</t>
  </si>
  <si>
    <t>Stage start offset</t>
  </si>
  <si>
    <t>Next block (+200h)</t>
  </si>
  <si>
    <t>+1E (20h-2h)</t>
  </si>
  <si>
    <t>Block Start</t>
  </si>
  <si>
    <t>Previous block (-200h)</t>
  </si>
  <si>
    <t>3) Use each halfword as an index into the BG tile definitions</t>
  </si>
  <si>
    <t>(Line End)</t>
  </si>
  <si>
    <t>(Line Start)</t>
  </si>
  <si>
    <t>2) Use the screenID as an index into the BG tilemap.</t>
  </si>
  <si>
    <t>Stage screen index in r8</t>
  </si>
  <si>
    <t>800276F2</t>
  </si>
  <si>
    <t>32/20h bytes</t>
  </si>
  <si>
    <t>Line Size</t>
  </si>
  <si>
    <t>A screen is 16x16 tiles, with the tiles being 16x16 pixels, making a screen 256x256 pixels.</t>
  </si>
  <si>
    <t>8002767C</t>
  </si>
  <si>
    <t>(16 x 16)</t>
  </si>
  <si>
    <t>(128 words)</t>
  </si>
  <si>
    <t>512/200h bytes</t>
  </si>
  <si>
    <t>Block Size</t>
  </si>
  <si>
    <t>1) Get the screenID from the map layout data.</t>
  </si>
  <si>
    <t>Stage screen index</t>
  </si>
  <si>
    <t>Block offset pattern</t>
  </si>
  <si>
    <t>Finding Addresses in BIN</t>
  </si>
  <si>
    <t>Finding Addresses in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</si>
</sst>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Calibri"/>
      <family val="2"/>
    </font>
    <font>
      <sz val="6"/>
      <color theme="1"/>
      <name val="Calibri"/>
      <family val="2"/>
    </font>
    <font>
      <sz val="8"/>
      <color theme="1"/>
      <name val="Calibri"/>
      <family val="2"/>
    </font>
    <font>
      <sz val="9"/>
      <color theme="0" tint="-0.249977111117893"/>
      <name val="Calibri"/>
      <family val="2"/>
    </font>
    <font>
      <b/>
      <sz val="9"/>
      <color theme="1"/>
      <name val="Calibri"/>
      <family val="2"/>
    </font>
    <font>
      <b/>
      <sz val="8"/>
      <color theme="1"/>
      <name val="Calibri"/>
      <family val="2"/>
    </font>
    <font>
      <b/>
      <sz val="8"/>
      <color theme="0" tint="-0.249977111117893"/>
      <name val="Calibri"/>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3" fillId="0" borderId="0" xfId="0" applyFont="1"/>
    <xf numFmtId="0" fontId="4" fillId="0" borderId="0" xfId="0" applyFont="1"/>
    <xf numFmtId="0" fontId="5" fillId="0" borderId="0" xfId="0" applyFont="1"/>
    <xf numFmtId="0" fontId="3" fillId="0" borderId="1" xfId="0" applyFont="1" applyBorder="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6" fillId="0" borderId="0" xfId="0" applyFont="1"/>
    <xf numFmtId="0" fontId="7" fillId="0" borderId="0" xfId="0" applyFont="1"/>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 xfId="0" quotePrefix="1" applyFont="1" applyBorder="1" applyAlignment="1">
      <alignment horizontal="left" vertical="center"/>
    </xf>
    <xf numFmtId="0" fontId="3" fillId="0" borderId="3" xfId="0" quotePrefix="1" applyFont="1" applyBorder="1" applyAlignment="1">
      <alignment horizontal="left" vertical="center"/>
    </xf>
    <xf numFmtId="0" fontId="3" fillId="0" borderId="4" xfId="0" applyFont="1" applyBorder="1" applyAlignment="1">
      <alignment horizontal="left" vertical="center"/>
    </xf>
    <xf numFmtId="0" fontId="6" fillId="0" borderId="5" xfId="0" quotePrefix="1" applyFont="1" applyBorder="1" applyAlignment="1">
      <alignment horizontal="left" vertical="center"/>
    </xf>
    <xf numFmtId="0" fontId="3" fillId="0" borderId="4" xfId="0" quotePrefix="1" applyFont="1" applyBorder="1" applyAlignment="1">
      <alignment horizontal="left" vertical="center"/>
    </xf>
    <xf numFmtId="0" fontId="3" fillId="0" borderId="0" xfId="0" applyFont="1" applyAlignment="1">
      <alignment horizontal="right"/>
    </xf>
    <xf numFmtId="0" fontId="3" fillId="0" borderId="0" xfId="0" applyFont="1" applyAlignment="1">
      <alignment horizontal="left"/>
    </xf>
    <xf numFmtId="0" fontId="6" fillId="0" borderId="0" xfId="0" applyFont="1" applyAlignment="1">
      <alignment horizontal="left"/>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87FC-C1FE-4326-96B6-B911007E0A46}">
  <sheetPr>
    <tabColor theme="9" tint="0.59999389629810485"/>
  </sheetPr>
  <dimension ref="A1:Q26"/>
  <sheetViews>
    <sheetView tabSelected="1" workbookViewId="0">
      <selection activeCell="D25" sqref="D25"/>
    </sheetView>
  </sheetViews>
  <sheetFormatPr defaultRowHeight="15" x14ac:dyDescent="0.25"/>
  <cols>
    <col min="2" max="2" width="17.5703125" bestFit="1" customWidth="1"/>
    <col min="4" max="4" width="26.28515625" customWidth="1"/>
    <col min="7" max="7" width="65.42578125" bestFit="1" customWidth="1"/>
    <col min="11" max="11" width="15.7109375" bestFit="1" customWidth="1"/>
    <col min="12" max="12" width="11.5703125" bestFit="1" customWidth="1"/>
    <col min="13" max="13" width="11.7109375" bestFit="1" customWidth="1"/>
    <col min="14" max="14" width="10.7109375" bestFit="1" customWidth="1"/>
    <col min="15" max="15" width="13.42578125" bestFit="1" customWidth="1"/>
    <col min="16" max="16" width="8" bestFit="1" customWidth="1"/>
  </cols>
  <sheetData>
    <row r="1" spans="1:17" s="1" customFormat="1" ht="12" x14ac:dyDescent="0.2">
      <c r="D1" s="6" t="s">
        <v>57</v>
      </c>
      <c r="G1" s="6" t="s">
        <v>56</v>
      </c>
      <c r="I1" s="2"/>
      <c r="J1" s="2"/>
      <c r="K1" s="22" t="s">
        <v>55</v>
      </c>
      <c r="Q1" s="2"/>
    </row>
    <row r="2" spans="1:17" s="1" customFormat="1" ht="12" x14ac:dyDescent="0.2">
      <c r="F2" s="6"/>
      <c r="G2" s="2"/>
      <c r="J2" s="2"/>
      <c r="K2" s="4"/>
      <c r="L2" s="21"/>
      <c r="N2" s="4"/>
      <c r="O2" s="4"/>
      <c r="P2" s="4"/>
      <c r="Q2" s="2"/>
    </row>
    <row r="3" spans="1:17" s="1" customFormat="1" ht="12" x14ac:dyDescent="0.2">
      <c r="B3" s="4"/>
      <c r="D3" s="10" t="s">
        <v>54</v>
      </c>
      <c r="G3" s="10" t="s">
        <v>53</v>
      </c>
      <c r="H3" s="4"/>
      <c r="I3" s="2"/>
      <c r="J3" s="2"/>
      <c r="K3" s="4" t="s">
        <v>52</v>
      </c>
      <c r="L3" s="21" t="s">
        <v>51</v>
      </c>
      <c r="N3" s="1" t="s">
        <v>50</v>
      </c>
      <c r="O3" s="1" t="s">
        <v>49</v>
      </c>
      <c r="P3" s="4"/>
      <c r="Q3" s="2"/>
    </row>
    <row r="4" spans="1:17" s="1" customFormat="1" ht="12" x14ac:dyDescent="0.2">
      <c r="A4" s="11" t="s">
        <v>48</v>
      </c>
      <c r="B4" s="10"/>
      <c r="D4" s="4" t="s">
        <v>43</v>
      </c>
      <c r="G4" s="4" t="s">
        <v>47</v>
      </c>
      <c r="H4" s="4"/>
      <c r="I4" s="2"/>
      <c r="J4" s="2"/>
      <c r="K4" s="20" t="s">
        <v>46</v>
      </c>
      <c r="L4" s="10" t="s">
        <v>45</v>
      </c>
      <c r="M4" s="10"/>
      <c r="N4" s="4"/>
      <c r="O4" s="4"/>
      <c r="P4" s="4"/>
      <c r="Q4" s="2"/>
    </row>
    <row r="5" spans="1:17" s="1" customFormat="1" ht="12" x14ac:dyDescent="0.2">
      <c r="A5" s="11" t="s">
        <v>44</v>
      </c>
      <c r="B5" s="10"/>
      <c r="D5" s="4" t="s">
        <v>43</v>
      </c>
      <c r="G5" s="10" t="s">
        <v>42</v>
      </c>
      <c r="H5" s="4"/>
      <c r="I5" s="2"/>
      <c r="J5" s="2"/>
      <c r="K5" s="4"/>
      <c r="L5" s="4"/>
      <c r="M5" s="4" t="s">
        <v>41</v>
      </c>
      <c r="N5" s="19" t="s">
        <v>40</v>
      </c>
      <c r="O5" s="4"/>
      <c r="P5" s="4"/>
      <c r="Q5" s="2"/>
    </row>
    <row r="6" spans="1:17" s="1" customFormat="1" ht="12" x14ac:dyDescent="0.2">
      <c r="A6" s="5"/>
      <c r="B6" s="10"/>
      <c r="D6" s="4"/>
      <c r="G6" s="10" t="s">
        <v>39</v>
      </c>
      <c r="H6" s="4"/>
      <c r="I6" s="2"/>
      <c r="J6" s="2"/>
      <c r="K6" s="17" t="s">
        <v>38</v>
      </c>
      <c r="L6" s="16"/>
      <c r="M6" s="17" t="s">
        <v>37</v>
      </c>
      <c r="N6" s="18" t="s">
        <v>36</v>
      </c>
      <c r="O6" s="17" t="s">
        <v>35</v>
      </c>
      <c r="P6" s="16"/>
      <c r="Q6" s="2"/>
    </row>
    <row r="7" spans="1:17" s="1" customFormat="1" ht="12" x14ac:dyDescent="0.2">
      <c r="A7" s="5"/>
      <c r="B7" s="10"/>
      <c r="D7" s="10" t="s">
        <v>34</v>
      </c>
      <c r="G7" s="4"/>
      <c r="H7" s="4"/>
      <c r="I7" s="2"/>
      <c r="J7" s="2"/>
      <c r="K7" s="13"/>
      <c r="L7" s="12"/>
      <c r="M7" s="15" t="s">
        <v>33</v>
      </c>
      <c r="N7" s="14" t="s">
        <v>32</v>
      </c>
      <c r="O7" s="13"/>
      <c r="P7" s="12"/>
      <c r="Q7" s="2"/>
    </row>
    <row r="8" spans="1:17" s="1" customFormat="1" ht="12" x14ac:dyDescent="0.2">
      <c r="A8" s="5"/>
      <c r="B8" s="10" t="s">
        <v>31</v>
      </c>
      <c r="D8" s="4" t="s">
        <v>30</v>
      </c>
      <c r="G8" s="4" t="s">
        <v>29</v>
      </c>
      <c r="H8" s="4"/>
      <c r="I8" s="2"/>
      <c r="J8" s="2"/>
      <c r="K8" s="4"/>
      <c r="L8" s="4"/>
      <c r="M8" s="4"/>
      <c r="N8" s="4"/>
      <c r="O8" s="4"/>
      <c r="P8" s="4"/>
      <c r="Q8" s="2"/>
    </row>
    <row r="9" spans="1:17" s="1" customFormat="1" ht="12" x14ac:dyDescent="0.2">
      <c r="A9" s="5"/>
      <c r="B9" s="10"/>
      <c r="D9" s="4"/>
      <c r="G9" s="10" t="s">
        <v>28</v>
      </c>
      <c r="H9" s="4"/>
      <c r="I9" s="2"/>
      <c r="J9" s="2"/>
      <c r="K9" s="4" t="s">
        <v>27</v>
      </c>
      <c r="M9" s="4"/>
      <c r="N9" s="4"/>
      <c r="O9" s="4"/>
      <c r="P9" s="4"/>
      <c r="Q9" s="2"/>
    </row>
    <row r="10" spans="1:17" s="1" customFormat="1" ht="12" x14ac:dyDescent="0.2">
      <c r="A10" s="5"/>
      <c r="B10" s="10" t="s">
        <v>26</v>
      </c>
      <c r="D10" s="10" t="s">
        <v>25</v>
      </c>
      <c r="G10" s="4" t="s">
        <v>24</v>
      </c>
      <c r="H10" s="4"/>
      <c r="I10" s="2"/>
      <c r="J10" s="2"/>
      <c r="K10" s="4"/>
      <c r="L10" s="4"/>
      <c r="M10" s="4"/>
      <c r="N10" s="4"/>
      <c r="O10" s="4"/>
      <c r="P10" s="4"/>
      <c r="Q10" s="2"/>
    </row>
    <row r="11" spans="1:17" s="1" customFormat="1" ht="12" x14ac:dyDescent="0.2">
      <c r="A11" s="11"/>
      <c r="B11" s="10"/>
      <c r="D11" s="4" t="s">
        <v>23</v>
      </c>
      <c r="G11" s="10" t="s">
        <v>22</v>
      </c>
      <c r="H11" s="4"/>
      <c r="I11" s="2"/>
      <c r="J11" s="2"/>
      <c r="K11" s="7" t="str">
        <f>DEC2HEX(HEX2DEC(M11)-HEX2DEC(200))</f>
        <v>801986DA</v>
      </c>
      <c r="L11" s="7" t="str">
        <f>DEC2HEX(HEX2DEC(K11)-14)</f>
        <v>801986CC</v>
      </c>
      <c r="M11" s="7" t="s">
        <v>21</v>
      </c>
      <c r="N11" s="7" t="str">
        <f>DEC2HEX(HEX2DEC(M11)-14)</f>
        <v>801988CC</v>
      </c>
      <c r="O11" s="7" t="str">
        <f>DEC2HEX(HEX2DEC(M11)+HEX2DEC(200))</f>
        <v>80198ADA</v>
      </c>
      <c r="P11" s="7" t="str">
        <f>DEC2HEX(HEX2DEC(O11)-14)</f>
        <v>80198ACC</v>
      </c>
      <c r="Q11" s="2"/>
    </row>
    <row r="12" spans="1:17" s="1" customFormat="1" ht="12" x14ac:dyDescent="0.2">
      <c r="A12" s="11"/>
      <c r="B12" s="10" t="s">
        <v>20</v>
      </c>
      <c r="D12" s="4" t="s">
        <v>19</v>
      </c>
      <c r="G12" s="4" t="s">
        <v>18</v>
      </c>
      <c r="H12" s="4"/>
      <c r="I12" s="2"/>
      <c r="J12" s="2"/>
      <c r="K12" s="7" t="str">
        <f>DEC2HEX(HEX2DEC(K11)+HEX2DEC(200)-HEX2DEC(20))</f>
        <v>801988BA</v>
      </c>
      <c r="L12" s="7" t="str">
        <f>DEC2HEX(HEX2DEC(K11)+HEX2DEC(200)-HEX2DEC(2))</f>
        <v>801988D8</v>
      </c>
      <c r="M12" s="7" t="str">
        <f>DEC2HEX(HEX2DEC(M11)+HEX2DEC(200)-HEX2DEC(20))</f>
        <v>80198ABA</v>
      </c>
      <c r="N12" s="7" t="str">
        <f>DEC2HEX(HEX2DEC(M11)+HEX2DEC(200)-HEX2DEC(2))</f>
        <v>80198AD8</v>
      </c>
      <c r="O12" s="7" t="str">
        <f>DEC2HEX(HEX2DEC(O11)+HEX2DEC(200)-HEX2DEC(20))</f>
        <v>80198CBA</v>
      </c>
      <c r="P12" s="7" t="str">
        <f>DEC2HEX(HEX2DEC(O11)+HEX2DEC(200)-HEX2DEC(2))</f>
        <v>80198CD8</v>
      </c>
      <c r="Q12" s="2"/>
    </row>
    <row r="13" spans="1:17" s="1" customFormat="1" ht="12" x14ac:dyDescent="0.2">
      <c r="A13" s="5"/>
      <c r="B13" s="10" t="s">
        <v>17</v>
      </c>
      <c r="D13" s="3" t="s">
        <v>16</v>
      </c>
      <c r="G13" s="10" t="s">
        <v>15</v>
      </c>
      <c r="H13" s="4"/>
      <c r="I13" s="2"/>
      <c r="J13" s="2"/>
      <c r="K13" s="3"/>
      <c r="L13" s="3"/>
      <c r="M13" s="3"/>
      <c r="N13" s="3"/>
      <c r="O13" s="3"/>
      <c r="P13" s="3"/>
      <c r="Q13" s="2"/>
    </row>
    <row r="14" spans="1:17" s="1" customFormat="1" ht="12" x14ac:dyDescent="0.2">
      <c r="A14" s="5"/>
      <c r="B14" s="6"/>
      <c r="G14" s="4" t="s">
        <v>14</v>
      </c>
      <c r="I14" s="2"/>
      <c r="J14" s="2"/>
      <c r="K14" s="7" t="str">
        <f>DEC2HEX(HEX2DEC(M14)-HEX2DEC(200))</f>
        <v>8019A8DC</v>
      </c>
      <c r="L14" s="7" t="str">
        <f>DEC2HEX(HEX2DEC(K14)-14)</f>
        <v>8019A8CE</v>
      </c>
      <c r="M14" s="7" t="s">
        <v>13</v>
      </c>
      <c r="N14" s="7" t="str">
        <f>DEC2HEX(HEX2DEC(M14)-14)</f>
        <v>8019AACE</v>
      </c>
      <c r="O14" s="7" t="s">
        <v>12</v>
      </c>
      <c r="P14" s="7" t="str">
        <f>DEC2HEX(HEX2DEC(O14)-14)</f>
        <v>8019ACCE</v>
      </c>
      <c r="Q14" s="2"/>
    </row>
    <row r="15" spans="1:17" s="1" customFormat="1" ht="12" x14ac:dyDescent="0.2">
      <c r="A15" s="9" t="s">
        <v>11</v>
      </c>
      <c r="B15" s="8"/>
      <c r="D15" s="8" t="s">
        <v>10</v>
      </c>
      <c r="G15" s="4" t="s">
        <v>9</v>
      </c>
      <c r="H15" s="4"/>
      <c r="I15" s="2"/>
      <c r="J15" s="2"/>
      <c r="K15" s="7" t="str">
        <f>DEC2HEX(HEX2DEC(K14)+HEX2DEC(200)-HEX2DEC(20))</f>
        <v>8019AABC</v>
      </c>
      <c r="L15" s="7" t="str">
        <f>DEC2HEX(HEX2DEC(K14)+HEX2DEC(200)-HEX2DEC(2))</f>
        <v>8019AADA</v>
      </c>
      <c r="M15" s="7" t="str">
        <f>DEC2HEX(HEX2DEC(M14)+HEX2DEC(200)-HEX2DEC(20))</f>
        <v>8019ACBC</v>
      </c>
      <c r="N15" s="7" t="str">
        <f>DEC2HEX(HEX2DEC(M14)+HEX2DEC(200)-HEX2DEC(2))</f>
        <v>8019ACDA</v>
      </c>
      <c r="O15" s="7" t="str">
        <f>DEC2HEX(HEX2DEC(O14)+HEX2DEC(200)-HEX2DEC(20))</f>
        <v>8019AEBC</v>
      </c>
      <c r="P15" s="7" t="str">
        <f>DEC2HEX(HEX2DEC(O14)+HEX2DEC(200)-HEX2DEC(2))</f>
        <v>8019AEDA</v>
      </c>
      <c r="Q15" s="2"/>
    </row>
    <row r="16" spans="1:17" s="1" customFormat="1" ht="12" x14ac:dyDescent="0.2">
      <c r="A16" s="5"/>
      <c r="B16" s="4"/>
      <c r="C16" s="4"/>
      <c r="D16" s="4"/>
      <c r="G16" s="4"/>
      <c r="H16" s="4"/>
      <c r="I16" s="2"/>
      <c r="J16" s="2"/>
      <c r="K16" s="3"/>
      <c r="L16" s="3"/>
      <c r="M16" s="3"/>
      <c r="N16" s="3"/>
      <c r="O16" s="3"/>
      <c r="P16" s="3"/>
      <c r="Q16" s="2"/>
    </row>
    <row r="17" spans="1:17" s="1" customFormat="1" ht="12" x14ac:dyDescent="0.2">
      <c r="A17" s="5"/>
      <c r="C17" s="4"/>
      <c r="D17" s="6" t="s">
        <v>8</v>
      </c>
      <c r="G17" s="4"/>
      <c r="H17" s="4"/>
      <c r="I17" s="2"/>
      <c r="J17" s="2"/>
      <c r="K17" s="3"/>
      <c r="L17" s="3"/>
      <c r="M17" s="3"/>
      <c r="N17" s="3"/>
      <c r="O17" s="3"/>
      <c r="P17" s="3"/>
      <c r="Q17" s="2"/>
    </row>
    <row r="18" spans="1:17" s="1" customFormat="1" ht="12" x14ac:dyDescent="0.2">
      <c r="A18" s="5"/>
      <c r="C18" s="4"/>
      <c r="D18" s="4" t="s">
        <v>7</v>
      </c>
      <c r="G18" s="4"/>
      <c r="H18" s="4"/>
      <c r="I18" s="2"/>
      <c r="J18" s="2"/>
      <c r="K18" s="3"/>
      <c r="L18" s="3"/>
      <c r="M18" s="3"/>
      <c r="N18" s="3"/>
      <c r="O18" s="3"/>
      <c r="P18" s="3"/>
      <c r="Q18" s="2"/>
    </row>
    <row r="19" spans="1:17" s="1" customFormat="1" ht="12" x14ac:dyDescent="0.2">
      <c r="C19" s="4"/>
      <c r="D19" s="4" t="s">
        <v>6</v>
      </c>
      <c r="G19" s="4"/>
      <c r="H19" s="4"/>
      <c r="I19" s="2"/>
      <c r="J19" s="2"/>
      <c r="K19" s="3"/>
      <c r="L19" s="3"/>
      <c r="M19" s="3"/>
      <c r="N19" s="3"/>
      <c r="O19" s="3"/>
      <c r="P19" s="3"/>
      <c r="Q19" s="2"/>
    </row>
    <row r="20" spans="1:17" s="1" customFormat="1" ht="12" x14ac:dyDescent="0.2">
      <c r="C20" s="4"/>
      <c r="D20" s="4" t="s">
        <v>5</v>
      </c>
      <c r="G20" s="4"/>
      <c r="H20" s="4"/>
      <c r="I20" s="2"/>
      <c r="J20" s="2"/>
      <c r="K20" s="3"/>
      <c r="L20" s="3"/>
      <c r="M20" s="3"/>
      <c r="N20" s="3"/>
      <c r="O20" s="3"/>
      <c r="P20" s="3"/>
      <c r="Q20" s="2"/>
    </row>
    <row r="21" spans="1:17" s="1" customFormat="1" ht="12" x14ac:dyDescent="0.2">
      <c r="C21" s="4"/>
      <c r="D21" s="4" t="s">
        <v>4</v>
      </c>
      <c r="G21" s="4"/>
      <c r="H21" s="4"/>
      <c r="I21" s="2"/>
      <c r="J21" s="2"/>
      <c r="K21" s="3"/>
      <c r="L21" s="3"/>
      <c r="M21" s="3"/>
      <c r="N21" s="3"/>
      <c r="O21" s="3"/>
      <c r="P21" s="3"/>
      <c r="Q21" s="2"/>
    </row>
    <row r="22" spans="1:17" s="1" customFormat="1" ht="12" x14ac:dyDescent="0.2">
      <c r="C22" s="4"/>
      <c r="D22" s="4" t="s">
        <v>3</v>
      </c>
      <c r="G22" s="4"/>
      <c r="H22" s="4"/>
      <c r="I22" s="2"/>
      <c r="J22" s="2"/>
      <c r="K22" s="3"/>
      <c r="L22" s="3"/>
      <c r="M22" s="3"/>
      <c r="N22" s="3"/>
      <c r="O22" s="3"/>
      <c r="P22" s="3"/>
      <c r="Q22" s="2"/>
    </row>
    <row r="23" spans="1:17" s="1" customFormat="1" ht="12" x14ac:dyDescent="0.2">
      <c r="C23" s="4"/>
      <c r="D23" s="4" t="s">
        <v>2</v>
      </c>
      <c r="G23" s="4"/>
      <c r="H23" s="4"/>
      <c r="I23" s="2"/>
      <c r="J23" s="2"/>
      <c r="K23" s="3"/>
      <c r="L23" s="3"/>
      <c r="M23" s="3"/>
      <c r="N23" s="3"/>
      <c r="O23" s="3"/>
      <c r="P23" s="3"/>
      <c r="Q23" s="2"/>
    </row>
    <row r="24" spans="1:17" s="1" customFormat="1" ht="12" x14ac:dyDescent="0.2">
      <c r="C24" s="4"/>
      <c r="D24" s="4" t="s">
        <v>1</v>
      </c>
      <c r="G24" s="4"/>
      <c r="H24" s="4"/>
      <c r="I24" s="2"/>
      <c r="J24" s="2"/>
      <c r="K24" s="3"/>
      <c r="L24" s="3"/>
      <c r="M24" s="3"/>
      <c r="N24" s="3"/>
      <c r="O24" s="3"/>
      <c r="P24" s="3"/>
      <c r="Q24" s="2"/>
    </row>
    <row r="25" spans="1:17" s="1" customFormat="1" ht="12" x14ac:dyDescent="0.2">
      <c r="C25" s="4"/>
      <c r="D25" s="4" t="s">
        <v>0</v>
      </c>
      <c r="G25" s="4"/>
      <c r="H25" s="4"/>
      <c r="I25" s="2"/>
      <c r="J25" s="2"/>
      <c r="K25" s="3"/>
      <c r="L25" s="3"/>
      <c r="M25" s="3"/>
      <c r="N25" s="3"/>
      <c r="O25" s="3"/>
      <c r="P25" s="3"/>
      <c r="Q25" s="2"/>
    </row>
    <row r="26" spans="1:17" s="1" customFormat="1" ht="12" x14ac:dyDescent="0.2">
      <c r="C26" s="4"/>
      <c r="D26" s="4"/>
      <c r="G26" s="4"/>
      <c r="H26" s="4"/>
      <c r="I26" s="2"/>
      <c r="J26" s="2"/>
      <c r="K26" s="3"/>
      <c r="L26" s="3"/>
      <c r="M26" s="3"/>
      <c r="N26" s="3"/>
      <c r="O26" s="3"/>
      <c r="P26" s="3"/>
      <c r="Q2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(DAT)MapEdit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twig</dc:creator>
  <cp:lastModifiedBy>twig</cp:lastModifiedBy>
  <dcterms:created xsi:type="dcterms:W3CDTF">2026-06-04T09:23:24Z</dcterms:created>
  <dcterms:modified xsi:type="dcterms:W3CDTF">2026-06-04T09:24:06Z</dcterms:modified>
</cp:coreProperties>
</file>